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LENOVO\006 Machine Learning\Excel\"/>
    </mc:Choice>
  </mc:AlternateContent>
  <xr:revisionPtr revIDLastSave="0" documentId="13_ncr:1_{004BDF32-7D5B-46F5-A987-BF29759376E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Binarisation" sheetId="1" r:id="rId1"/>
    <sheet name="Scalli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5" i="2" l="1"/>
  <c r="K15" i="2"/>
  <c r="J15" i="2"/>
  <c r="L14" i="2"/>
  <c r="K14" i="2"/>
  <c r="J14" i="2"/>
  <c r="L13" i="2"/>
  <c r="K13" i="2"/>
  <c r="J13" i="2"/>
  <c r="J12" i="2"/>
  <c r="L12" i="2"/>
  <c r="K12" i="2"/>
  <c r="O6" i="2"/>
  <c r="O5" i="2"/>
  <c r="O4" i="2"/>
  <c r="K9" i="2"/>
  <c r="L9" i="2"/>
  <c r="J9" i="2"/>
  <c r="L8" i="2"/>
  <c r="K8" i="2"/>
  <c r="J8" i="2"/>
  <c r="K7" i="2"/>
  <c r="L7" i="2"/>
  <c r="J7" i="2"/>
  <c r="B14" i="2"/>
  <c r="C14" i="2"/>
  <c r="A14" i="2"/>
  <c r="B13" i="2"/>
  <c r="C13" i="2"/>
  <c r="A13" i="2"/>
  <c r="B12" i="2"/>
  <c r="C12" i="2"/>
  <c r="A12" i="2"/>
  <c r="B11" i="2"/>
  <c r="C11" i="2"/>
  <c r="A11" i="2"/>
  <c r="B9" i="2"/>
  <c r="C9" i="2"/>
  <c r="B8" i="2"/>
  <c r="C8" i="2"/>
  <c r="C7" i="2"/>
  <c r="B7" i="2"/>
  <c r="A9" i="2"/>
  <c r="A7" i="2"/>
  <c r="A8" i="2"/>
  <c r="H5" i="1"/>
  <c r="I5" i="1"/>
  <c r="H4" i="1"/>
  <c r="I4" i="1"/>
  <c r="H3" i="1"/>
  <c r="I3" i="1"/>
  <c r="H2" i="1"/>
  <c r="I2" i="1"/>
  <c r="G5" i="1"/>
  <c r="G4" i="1"/>
  <c r="G3" i="1"/>
  <c r="G2" i="1"/>
</calcChain>
</file>

<file path=xl/sharedStrings.xml><?xml version="1.0" encoding="utf-8"?>
<sst xmlns="http://schemas.openxmlformats.org/spreadsheetml/2006/main" count="18" uniqueCount="8">
  <si>
    <t>sample_data</t>
  </si>
  <si>
    <t>threshold</t>
  </si>
  <si>
    <t>Binarisation</t>
  </si>
  <si>
    <t>MinMaxScaler</t>
  </si>
  <si>
    <t>Range</t>
  </si>
  <si>
    <t>Min</t>
  </si>
  <si>
    <t>Max</t>
  </si>
  <si>
    <t>Selisih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</si>
</sst>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5" xfId="0" applyBorder="1"/>
    <xf numFmtId="0" fontId="2" fillId="2" borderId="5" xfId="0" applyFont="1" applyFill="1" applyBorder="1" applyAlignment="1">
      <alignment horizontal="center"/>
    </xf>
    <xf numFmtId="0" fontId="0" fillId="0" borderId="6" xfId="0" applyBorder="1"/>
    <xf numFmtId="0" fontId="0" fillId="0" borderId="0" xfId="0" applyBorder="1"/>
    <xf numFmtId="0" fontId="2" fillId="2" borderId="0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2" borderId="1" xfId="0" applyFont="1" applyFill="1" applyBorder="1" applyAlignment="1">
      <alignment horizontal="center" vertical="center"/>
    </xf>
    <xf numFmtId="0" fontId="0" fillId="0" borderId="4" xfId="0" applyBorder="1"/>
    <xf numFmtId="0" fontId="2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205740</xdr:colOff>
      <xdr:row>3</xdr:row>
      <xdr:rowOff>160020</xdr:rowOff>
    </xdr:from>
    <xdr:to>
      <xdr:col>7</xdr:col>
      <xdr:colOff>487863</xdr:colOff>
      <xdr:row>7</xdr:row>
      <xdr:rowOff>91497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26A59E-672B-467D-8C08-A78D9F48F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5640" y="708660"/>
          <a:ext cx="2110923" cy="662997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15</xdr:row>
      <xdr:rowOff>68580</xdr:rowOff>
    </xdr:from>
    <xdr:to>
      <xdr:col>6</xdr:col>
      <xdr:colOff>122216</xdr:colOff>
      <xdr:row>18</xdr:row>
      <xdr:rowOff>129593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4E9E37-213A-4130-AE39-65969BACE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7260" y="2811780"/>
          <a:ext cx="3414056" cy="609653"/>
        </a:xfrm>
        <a:prstGeom prst="rect">
          <a:avLst/>
        </a:prstGeom>
      </xdr:spPr>
    </xdr:pic>
    <xdr:clientData/>
  </xdr:twoCellAnchor>
  <xdr:twoCellAnchor editAs="oneCell">
    <xdr:from>
      <xdr:col>13</xdr:col>
      <xdr:colOff>182880</xdr:colOff>
      <xdr:row>6</xdr:row>
      <xdr:rowOff>114300</xdr:rowOff>
    </xdr:from>
    <xdr:to>
      <xdr:col>20</xdr:col>
      <xdr:colOff>373766</xdr:colOff>
      <xdr:row>9</xdr:row>
      <xdr:rowOff>121968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133A3C-9189-4103-8637-B7FE519BD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79180" y="1211580"/>
          <a:ext cx="4458086" cy="556308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16</xdr:row>
      <xdr:rowOff>15240</xdr:rowOff>
    </xdr:from>
    <xdr:to>
      <xdr:col>14</xdr:col>
      <xdr:colOff>152729</xdr:colOff>
      <xdr:row>17</xdr:row>
      <xdr:rowOff>99083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3DFA4A3-B6B2-4630-A07B-9A5E4A578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03620" y="2941320"/>
          <a:ext cx="3795089" cy="2667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sqref="A1:C5"/>
    </sheetView>
  </sheetViews>
  <sheetFormatPr defaultRowHeight="14.4" x14ac:dyDescent="0.3"/>
  <sheetData>
    <row r="1" spans="1:9" x14ac:dyDescent="0.3">
      <c r="A1" s="9" t="s">
        <v>0</v>
      </c>
      <c r="B1" s="9"/>
      <c r="C1" s="9"/>
      <c r="E1" s="5" t="s">
        <v>1</v>
      </c>
      <c r="G1" s="6" t="s">
        <v>2</v>
      </c>
      <c r="H1" s="7"/>
      <c r="I1" s="8"/>
    </row>
    <row r="2" spans="1:9" x14ac:dyDescent="0.3">
      <c r="A2" s="2">
        <v>2.1</v>
      </c>
      <c r="B2" s="2">
        <v>-1.9</v>
      </c>
      <c r="C2" s="2">
        <v>5.5</v>
      </c>
      <c r="E2" s="2">
        <v>0.5</v>
      </c>
      <c r="G2" s="2">
        <f>IF(A2&lt;=E2,0,1)</f>
        <v>1</v>
      </c>
      <c r="H2" s="2">
        <f t="shared" ref="H2:I2" si="0">IF(B2&lt;=F2,0,1)</f>
        <v>0</v>
      </c>
      <c r="I2" s="2">
        <f t="shared" si="0"/>
        <v>1</v>
      </c>
    </row>
    <row r="3" spans="1:9" x14ac:dyDescent="0.3">
      <c r="A3" s="2">
        <v>-1.5</v>
      </c>
      <c r="B3" s="2">
        <v>2.4</v>
      </c>
      <c r="C3" s="2">
        <v>3.5</v>
      </c>
      <c r="G3" s="2">
        <f>IF(A3&lt;=E2,0,1)</f>
        <v>0</v>
      </c>
      <c r="H3" s="2">
        <f t="shared" ref="H3:I3" si="1">IF(B3&lt;=F2,0,1)</f>
        <v>1</v>
      </c>
      <c r="I3" s="2">
        <f t="shared" si="1"/>
        <v>1</v>
      </c>
    </row>
    <row r="4" spans="1:9" x14ac:dyDescent="0.3">
      <c r="A4" s="2">
        <v>0.5</v>
      </c>
      <c r="B4" s="2">
        <v>-7.9</v>
      </c>
      <c r="C4" s="2">
        <v>5.6</v>
      </c>
      <c r="G4" s="2">
        <f>IF(A4&lt;=E2, 0,1)</f>
        <v>0</v>
      </c>
      <c r="H4" s="2">
        <f t="shared" ref="H4:I4" si="2">IF(B4&lt;=F2, 0,1)</f>
        <v>0</v>
      </c>
      <c r="I4" s="2">
        <f t="shared" si="2"/>
        <v>1</v>
      </c>
    </row>
    <row r="5" spans="1:9" x14ac:dyDescent="0.3">
      <c r="A5" s="2">
        <v>5.9</v>
      </c>
      <c r="B5" s="2">
        <v>2.2999999999999998</v>
      </c>
      <c r="C5" s="2">
        <v>-5.8</v>
      </c>
      <c r="G5" s="2">
        <f>IF(A5&lt;=E2,0,1)</f>
        <v>1</v>
      </c>
      <c r="H5" s="2">
        <f t="shared" ref="H5:I5" si="3">IF(B5&lt;=F2,0,1)</f>
        <v>1</v>
      </c>
      <c r="I5" s="2">
        <f t="shared" si="3"/>
        <v>0</v>
      </c>
    </row>
  </sheetData>
  <mergeCells count="2">
    <mergeCell ref="A1:C1"/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FCA4E-CB90-48C1-AF08-EA032F6847AB}">
  <dimension ref="A1:P20"/>
  <sheetViews>
    <sheetView tabSelected="1" workbookViewId="0">
      <selection activeCell="K23" sqref="K23"/>
    </sheetView>
  </sheetViews>
  <sheetFormatPr defaultRowHeight="14.4" x14ac:dyDescent="0.3"/>
  <cols>
    <col min="1" max="2" width="12" bestFit="1" customWidth="1"/>
    <col min="3" max="3" width="11" bestFit="1" customWidth="1"/>
    <col min="10" max="12" width="12" bestFit="1" customWidth="1"/>
  </cols>
  <sheetData>
    <row r="1" spans="1:16" x14ac:dyDescent="0.3">
      <c r="A1" s="9" t="s">
        <v>0</v>
      </c>
      <c r="B1" s="9"/>
      <c r="C1" s="9"/>
      <c r="D1" s="10"/>
      <c r="E1" s="11" t="s">
        <v>3</v>
      </c>
      <c r="F1" s="11"/>
      <c r="G1" s="11"/>
      <c r="H1" s="12"/>
      <c r="J1" s="9" t="s">
        <v>0</v>
      </c>
      <c r="K1" s="9"/>
      <c r="L1" s="9"/>
      <c r="N1" s="22" t="s">
        <v>3</v>
      </c>
      <c r="O1" s="3"/>
      <c r="P1" s="3"/>
    </row>
    <row r="2" spans="1:16" x14ac:dyDescent="0.3">
      <c r="A2" s="2">
        <v>2.1</v>
      </c>
      <c r="B2" s="2">
        <v>-1.9</v>
      </c>
      <c r="C2" s="2">
        <v>5.5</v>
      </c>
      <c r="D2" s="13"/>
      <c r="E2" s="13"/>
      <c r="F2" s="14" t="s">
        <v>4</v>
      </c>
      <c r="G2" s="14"/>
      <c r="H2" s="15"/>
      <c r="J2" s="2">
        <v>2.1</v>
      </c>
      <c r="K2" s="2">
        <v>-1.9</v>
      </c>
      <c r="L2" s="2">
        <v>5.5</v>
      </c>
      <c r="N2" s="24"/>
      <c r="O2" s="4" t="s">
        <v>4</v>
      </c>
      <c r="P2" s="3"/>
    </row>
    <row r="3" spans="1:16" x14ac:dyDescent="0.3">
      <c r="A3" s="2">
        <v>-1.5</v>
      </c>
      <c r="B3" s="2">
        <v>2.4</v>
      </c>
      <c r="C3" s="2">
        <v>3.5</v>
      </c>
      <c r="D3" s="13"/>
      <c r="E3" s="13"/>
      <c r="F3" s="13">
        <v>0</v>
      </c>
      <c r="G3" s="13">
        <v>1</v>
      </c>
      <c r="H3" s="15"/>
      <c r="J3" s="2">
        <v>-1.5</v>
      </c>
      <c r="K3" s="2">
        <v>2.4</v>
      </c>
      <c r="L3" s="2">
        <v>3.5</v>
      </c>
      <c r="N3" s="25"/>
      <c r="O3" s="21">
        <v>10</v>
      </c>
      <c r="P3" s="2">
        <v>100</v>
      </c>
    </row>
    <row r="4" spans="1:16" x14ac:dyDescent="0.3">
      <c r="A4" s="2">
        <v>0.5</v>
      </c>
      <c r="B4" s="2">
        <v>-7.9</v>
      </c>
      <c r="C4" s="2">
        <v>5.6</v>
      </c>
      <c r="D4" s="13"/>
      <c r="E4" s="13"/>
      <c r="F4" s="13"/>
      <c r="G4" s="13"/>
      <c r="H4" s="15"/>
      <c r="J4" s="2">
        <v>0.5</v>
      </c>
      <c r="K4" s="2">
        <v>-7.9</v>
      </c>
      <c r="L4" s="2">
        <v>5.6</v>
      </c>
      <c r="N4" s="23" t="s">
        <v>5</v>
      </c>
      <c r="O4" s="1">
        <f>MIN(O3:P3)</f>
        <v>10</v>
      </c>
      <c r="P4" s="1"/>
    </row>
    <row r="5" spans="1:16" x14ac:dyDescent="0.3">
      <c r="A5" s="2">
        <v>5.9</v>
      </c>
      <c r="B5" s="2">
        <v>2.2999999999999998</v>
      </c>
      <c r="C5" s="2">
        <v>-5.8</v>
      </c>
      <c r="D5" s="13"/>
      <c r="E5" s="13"/>
      <c r="F5" s="13"/>
      <c r="G5" s="13"/>
      <c r="H5" s="15"/>
      <c r="J5" s="2">
        <v>5.9</v>
      </c>
      <c r="K5" s="2">
        <v>2.2999999999999998</v>
      </c>
      <c r="L5" s="2">
        <v>-5.8</v>
      </c>
      <c r="N5" s="20" t="s">
        <v>6</v>
      </c>
      <c r="O5" s="1">
        <f>MAX(O3:P3)</f>
        <v>100</v>
      </c>
      <c r="P5" s="1"/>
    </row>
    <row r="6" spans="1:16" x14ac:dyDescent="0.3">
      <c r="A6" s="16"/>
      <c r="B6" s="13"/>
      <c r="C6" s="13"/>
      <c r="D6" s="13"/>
      <c r="E6" s="13"/>
      <c r="F6" s="13"/>
      <c r="G6" s="13"/>
      <c r="H6" s="15"/>
      <c r="N6" s="20" t="s">
        <v>7</v>
      </c>
      <c r="O6" s="1">
        <f>O5-O4</f>
        <v>90</v>
      </c>
      <c r="P6" s="1"/>
    </row>
    <row r="7" spans="1:16" x14ac:dyDescent="0.3">
      <c r="A7" s="2">
        <f>MAX(A2:A5)</f>
        <v>5.9</v>
      </c>
      <c r="B7" s="2">
        <f>MAX(B2:B5)</f>
        <v>2.4</v>
      </c>
      <c r="C7" s="2">
        <f>MAX(C2:C5)</f>
        <v>5.6</v>
      </c>
      <c r="D7" s="5" t="s">
        <v>6</v>
      </c>
      <c r="E7" s="13"/>
      <c r="F7" s="13"/>
      <c r="G7" s="13"/>
      <c r="H7" s="15"/>
      <c r="J7" s="2">
        <f>MAX(J2:J5)</f>
        <v>5.9</v>
      </c>
      <c r="K7" s="2">
        <f t="shared" ref="K7:L7" si="0">MAX(K2:K5)</f>
        <v>2.4</v>
      </c>
      <c r="L7" s="2">
        <f t="shared" si="0"/>
        <v>5.6</v>
      </c>
      <c r="M7" s="5" t="s">
        <v>6</v>
      </c>
    </row>
    <row r="8" spans="1:16" x14ac:dyDescent="0.3">
      <c r="A8" s="2">
        <f>MIN(A2:A5)</f>
        <v>-1.5</v>
      </c>
      <c r="B8" s="2">
        <f t="shared" ref="B8:C8" si="1">MIN(B2:B5)</f>
        <v>-7.9</v>
      </c>
      <c r="C8" s="2">
        <f t="shared" si="1"/>
        <v>-5.8</v>
      </c>
      <c r="D8" s="5" t="s">
        <v>5</v>
      </c>
      <c r="E8" s="13"/>
      <c r="F8" s="13"/>
      <c r="G8" s="13"/>
      <c r="H8" s="15"/>
      <c r="J8" s="2">
        <f>MIN(J2:J5)</f>
        <v>-1.5</v>
      </c>
      <c r="K8" s="2">
        <f>MIN(K2:K5)</f>
        <v>-7.9</v>
      </c>
      <c r="L8" s="2">
        <f>MIN(L2:L5)</f>
        <v>-5.8</v>
      </c>
      <c r="M8" s="5" t="s">
        <v>5</v>
      </c>
    </row>
    <row r="9" spans="1:16" x14ac:dyDescent="0.3">
      <c r="A9" s="2">
        <f>A7-A8</f>
        <v>7.4</v>
      </c>
      <c r="B9" s="2">
        <f t="shared" ref="B9:C9" si="2">B7-B8</f>
        <v>10.3</v>
      </c>
      <c r="C9" s="2">
        <f t="shared" si="2"/>
        <v>11.399999999999999</v>
      </c>
      <c r="D9" s="5" t="s">
        <v>7</v>
      </c>
      <c r="E9" s="13"/>
      <c r="F9" s="13"/>
      <c r="G9" s="13"/>
      <c r="H9" s="15"/>
      <c r="J9" s="2">
        <f>J7-J8</f>
        <v>7.4</v>
      </c>
      <c r="K9" s="2">
        <f t="shared" ref="K9:L9" si="3">K7-K8</f>
        <v>10.3</v>
      </c>
      <c r="L9" s="2">
        <f t="shared" si="3"/>
        <v>11.399999999999999</v>
      </c>
      <c r="M9" s="5" t="s">
        <v>7</v>
      </c>
    </row>
    <row r="10" spans="1:16" x14ac:dyDescent="0.3">
      <c r="A10" s="16"/>
      <c r="B10" s="13"/>
      <c r="C10" s="13"/>
      <c r="D10" s="13"/>
      <c r="E10" s="13"/>
      <c r="F10" s="13"/>
      <c r="G10" s="13"/>
      <c r="H10" s="15"/>
    </row>
    <row r="11" spans="1:16" x14ac:dyDescent="0.3">
      <c r="A11" s="16">
        <f>(A2-A8)/(A9)</f>
        <v>0.48648648648648646</v>
      </c>
      <c r="B11" s="13">
        <f t="shared" ref="B11:C11" si="4">(B2-B8)/(B9)</f>
        <v>0.58252427184466016</v>
      </c>
      <c r="C11" s="13">
        <f t="shared" si="4"/>
        <v>0.99122807017543879</v>
      </c>
      <c r="D11" s="13"/>
      <c r="E11" s="13"/>
      <c r="F11" s="13"/>
      <c r="G11" s="13"/>
      <c r="H11" s="15"/>
    </row>
    <row r="12" spans="1:16" x14ac:dyDescent="0.3">
      <c r="A12" s="16">
        <f>(A3-A8)/A9</f>
        <v>0</v>
      </c>
      <c r="B12" s="13">
        <f t="shared" ref="B12:C12" si="5">(B3-B8)/B9</f>
        <v>1</v>
      </c>
      <c r="C12" s="13">
        <f t="shared" si="5"/>
        <v>0.81578947368421073</v>
      </c>
      <c r="D12" s="13"/>
      <c r="E12" s="13"/>
      <c r="F12" s="13"/>
      <c r="G12" s="13"/>
      <c r="H12" s="15"/>
      <c r="J12">
        <f>(((J2-J8)/J9)*O6)+O4</f>
        <v>53.783783783783782</v>
      </c>
      <c r="K12">
        <f>(K2-K8)/K9*O6+O4</f>
        <v>62.427184466019412</v>
      </c>
      <c r="L12">
        <f>(L2-L8)/L9*O6+O4</f>
        <v>99.210526315789494</v>
      </c>
    </row>
    <row r="13" spans="1:16" x14ac:dyDescent="0.3">
      <c r="A13" s="16">
        <f>(A4-A8)/A9</f>
        <v>0.27027027027027023</v>
      </c>
      <c r="B13" s="13">
        <f t="shared" ref="B13:C13" si="6">(B4-B8)/B9</f>
        <v>0</v>
      </c>
      <c r="C13" s="13">
        <f t="shared" si="6"/>
        <v>1</v>
      </c>
      <c r="D13" s="13"/>
      <c r="E13" s="13"/>
      <c r="F13" s="13"/>
      <c r="G13" s="13"/>
      <c r="H13" s="15"/>
      <c r="J13">
        <f>(J3-J8)/J9*O6+O4</f>
        <v>10</v>
      </c>
      <c r="K13">
        <f>(K3-K8)/K9*O6+O4</f>
        <v>100</v>
      </c>
      <c r="L13">
        <f>(L3-L8)/L9*O6+O4</f>
        <v>83.421052631578959</v>
      </c>
    </row>
    <row r="14" spans="1:16" x14ac:dyDescent="0.3">
      <c r="A14" s="16">
        <f>(A5-A8)/A9</f>
        <v>1</v>
      </c>
      <c r="B14" s="13">
        <f t="shared" ref="B14:C14" si="7">(B5-B8)/B9</f>
        <v>0.99029126213592222</v>
      </c>
      <c r="C14" s="13">
        <f t="shared" si="7"/>
        <v>0</v>
      </c>
      <c r="D14" s="13"/>
      <c r="E14" s="13"/>
      <c r="F14" s="13"/>
      <c r="G14" s="13"/>
      <c r="H14" s="15"/>
      <c r="J14">
        <f>(J4-J8)/J9*O6+O4</f>
        <v>34.324324324324323</v>
      </c>
      <c r="K14">
        <f>(K4-K8)/K9*O6+O4</f>
        <v>10</v>
      </c>
      <c r="L14">
        <f>(L4-L8)/L9*O6+O4</f>
        <v>100</v>
      </c>
    </row>
    <row r="15" spans="1:16" x14ac:dyDescent="0.3">
      <c r="A15" s="13"/>
      <c r="B15" s="13"/>
      <c r="C15" s="13"/>
      <c r="D15" s="13"/>
      <c r="E15" s="13"/>
      <c r="F15" s="13"/>
      <c r="G15" s="13"/>
      <c r="H15" s="15"/>
      <c r="J15">
        <f>(J5-J8)/J9*O6+O4</f>
        <v>100</v>
      </c>
      <c r="K15">
        <f>(K5-K8)/K9*O6+O4</f>
        <v>99.126213592233</v>
      </c>
      <c r="L15">
        <f>(L5-L8)/L9*O6+O4</f>
        <v>10</v>
      </c>
    </row>
    <row r="16" spans="1:16" x14ac:dyDescent="0.3">
      <c r="A16" s="16"/>
      <c r="B16" s="13"/>
      <c r="C16" s="13"/>
      <c r="D16" s="13"/>
      <c r="E16" s="13"/>
      <c r="F16" s="13"/>
      <c r="G16" s="13"/>
      <c r="H16" s="15"/>
    </row>
    <row r="17" spans="1:8" x14ac:dyDescent="0.3">
      <c r="A17" s="16"/>
      <c r="B17" s="13"/>
      <c r="C17" s="13"/>
      <c r="D17" s="13"/>
      <c r="E17" s="13"/>
      <c r="F17" s="13"/>
      <c r="G17" s="13"/>
      <c r="H17" s="15"/>
    </row>
    <row r="18" spans="1:8" x14ac:dyDescent="0.3">
      <c r="A18" s="16"/>
      <c r="B18" s="13"/>
      <c r="C18" s="13"/>
      <c r="D18" s="13"/>
      <c r="E18" s="13"/>
      <c r="F18" s="13"/>
      <c r="G18" s="13"/>
      <c r="H18" s="15"/>
    </row>
    <row r="19" spans="1:8" x14ac:dyDescent="0.3">
      <c r="A19" s="16"/>
      <c r="B19" s="13"/>
      <c r="C19" s="13"/>
      <c r="D19" s="13"/>
      <c r="E19" s="13"/>
      <c r="F19" s="13"/>
      <c r="G19" s="13"/>
      <c r="H19" s="15"/>
    </row>
    <row r="20" spans="1:8" x14ac:dyDescent="0.3">
      <c r="A20" s="17"/>
      <c r="B20" s="18"/>
      <c r="C20" s="18"/>
      <c r="D20" s="18"/>
      <c r="E20" s="18"/>
      <c r="F20" s="18"/>
      <c r="G20" s="18"/>
      <c r="H20" s="19"/>
    </row>
  </sheetData>
  <mergeCells count="9">
    <mergeCell ref="O4:P4"/>
    <mergeCell ref="O5:P5"/>
    <mergeCell ref="O6:P6"/>
    <mergeCell ref="A1:C1"/>
    <mergeCell ref="E1:G1"/>
    <mergeCell ref="F2:G2"/>
    <mergeCell ref="J1:L1"/>
    <mergeCell ref="N1:P1"/>
    <mergeCell ref="O2:P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Binarisation</vt:lpstr>
      <vt:lpstr>Scalling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Wahyu Prayogo</dc:creator>
  <cp:lastModifiedBy>AWP1205</cp:lastModifiedBy>
  <dcterms:created xsi:type="dcterms:W3CDTF">2015-06-05T18:17:20Z</dcterms:created>
  <dcterms:modified xsi:type="dcterms:W3CDTF">2026-03-24T02:28:14Z</dcterms:modified>
</cp:coreProperties>
</file>