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LENOVO\006 Machine Learning\Excel\"/>
    </mc:Choice>
  </mc:AlternateContent>
  <xr:revisionPtr revIDLastSave="0" documentId="13_ncr:1_{6181CA5D-A15E-400C-848F-241CFDFBCA1A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Slope &amp; Intercept" sheetId="1" r:id="rId1"/>
    <sheet name="Data" sheetId="2" r:id="rId2"/>
    <sheet name="Using Tool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1" l="1"/>
  <c r="F17" i="1"/>
  <c r="D17" i="1"/>
  <c r="A16" i="1"/>
  <c r="I8" i="1"/>
  <c r="I6" i="1"/>
  <c r="G6" i="1"/>
  <c r="D5" i="1"/>
</calcChain>
</file>

<file path=xl/sharedStrings.xml><?xml version="1.0" encoding="utf-8"?>
<sst xmlns="http://schemas.openxmlformats.org/spreadsheetml/2006/main" count="59" uniqueCount="50">
  <si>
    <t>Mencari Slope β</t>
  </si>
  <si>
    <t>Cara Cepat</t>
  </si>
  <si>
    <t>diameter</t>
  </si>
  <si>
    <t>harga</t>
  </si>
  <si>
    <t>Cari Varians X</t>
  </si>
  <si>
    <t>S. itu sama kaya 
ddof di python</t>
  </si>
  <si>
    <t>Covariance X,Y</t>
  </si>
  <si>
    <t>Slope</t>
  </si>
  <si>
    <t>Cara Manual (Sesuai Rumus)</t>
  </si>
  <si>
    <t>Rata-rata X</t>
  </si>
  <si>
    <t>Rata-rata Y</t>
  </si>
  <si>
    <t>Intercept</t>
  </si>
  <si>
    <t>Rata - Rata Y - (Slope * Rata - Rata X)</t>
  </si>
  <si>
    <t>Mencari Intercept α</t>
  </si>
  <si>
    <t>Diameter (Inch)</t>
  </si>
  <si>
    <t>Harga (Dollar)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</si>
  <si>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</si>
  <si>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</si>
  <si>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</si>
  <si>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</si>
  <si>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</si>
  <si>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</si>
  <si>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</si>
  <si>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</si>
  <si>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</si>
  <si>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</si>
  <si>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</si>
  <si>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</si>
  <si>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</si>
  <si>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</si>
  <si>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</si>
  <si>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</si>
  <si>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</si>
  <si>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</si>
  <si>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</si>
  <si>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</si>
  <si>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</si>
  <si>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</si>
  <si>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</si>
  <si>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</si>
  <si>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</si>
  <si>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Harga (Dollar)</t>
  </si>
  <si>
    <t>Residuals</t>
  </si>
  <si>
    <t>Standard Residuals</t>
  </si>
  <si>
    <t>PROBABILITY OUTPUT</t>
  </si>
  <si>
    <t>Percentile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</si>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</sst>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Diameter (Inch)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Data!$A$2:$A$6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</c:numCache>
            </c:numRef>
          </c:xVal>
          <c:yVal>
            <c:numRef>
              <c:f>'Using Tool'!$C$25:$C$29</c:f>
              <c:numCache>
                <c:formatCode>General</c:formatCode>
                <c:ptCount val="5"/>
                <c:pt idx="0">
                  <c:v>-0.82327586206896619</c:v>
                </c:pt>
                <c:pt idx="1">
                  <c:v>-0.77586206896551779</c:v>
                </c:pt>
                <c:pt idx="2">
                  <c:v>1.2715517241379306</c:v>
                </c:pt>
                <c:pt idx="3">
                  <c:v>1.8663793103448274</c:v>
                </c:pt>
                <c:pt idx="4">
                  <c:v>-1.5387931034482776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F8-4B6A-9780-A0A9817E9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1429487"/>
        <c:axId val="1371434479"/>
      </c:scatterChart>
      <c:valAx>
        <c:axId val="1371429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Diameter (Inch)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71434479"/>
        <c:crosses val="autoZero"/>
        <c:crossBetween val="midCat"/>
      </c:valAx>
      <c:valAx>
        <c:axId val="1371434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71429487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Diameter (Inch)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Harga (Dollar)</c:v>
          </c:tx>
          <c:spPr>
            <a:ln w="1905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Data!$A$2:$A$6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</c:numCache>
            </c:numRef>
          </c:xVal>
          <c:yVal>
            <c:numRef>
              <c:f>Data!$B$2:$B$6</c:f>
              <c:numCache>
                <c:formatCode>General</c:formatCode>
                <c:ptCount val="5"/>
                <c:pt idx="0">
                  <c:v>7</c:v>
                </c:pt>
                <c:pt idx="1">
                  <c:v>9</c:v>
                </c:pt>
                <c:pt idx="2">
                  <c:v>13</c:v>
                </c:pt>
                <c:pt idx="3">
                  <c:v>17.5</c:v>
                </c:pt>
                <c:pt idx="4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29-4781-9573-DE7796C87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560927"/>
        <c:axId val="1381554271"/>
      </c:scatterChart>
      <c:valAx>
        <c:axId val="1381560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Diameter (Inch)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1554271"/>
        <c:crosses val="autoZero"/>
        <c:crossBetween val="midCat"/>
      </c:valAx>
      <c:valAx>
        <c:axId val="13815542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Harga (Dollar)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156092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'Using Tool'!$F$25:$F$29</c:f>
              <c:numCache>
                <c:formatCode>General</c:formatCode>
                <c:ptCount val="5"/>
                <c:pt idx="0">
                  <c:v>10</c:v>
                </c:pt>
                <c:pt idx="1">
                  <c:v>30</c:v>
                </c:pt>
                <c:pt idx="2">
                  <c:v>50</c:v>
                </c:pt>
                <c:pt idx="3">
                  <c:v>70</c:v>
                </c:pt>
                <c:pt idx="4">
                  <c:v>90</c:v>
                </c:pt>
              </c:numCache>
            </c:numRef>
          </c:xVal>
          <c:yVal>
            <c:numRef>
              <c:f>'Using Tool'!$G$25:$G$29</c:f>
              <c:numCache>
                <c:formatCode>General</c:formatCode>
                <c:ptCount val="5"/>
                <c:pt idx="0">
                  <c:v>7</c:v>
                </c:pt>
                <c:pt idx="1">
                  <c:v>9</c:v>
                </c:pt>
                <c:pt idx="2">
                  <c:v>13</c:v>
                </c:pt>
                <c:pt idx="3">
                  <c:v>17.5</c:v>
                </c:pt>
                <c:pt idx="4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D2-4D58-9763-2016B57AB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559679"/>
        <c:axId val="1381554687"/>
      </c:scatterChart>
      <c:valAx>
        <c:axId val="1381559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1554687"/>
        <c:crosses val="autoZero"/>
        <c:crossBetween val="midCat"/>
      </c:valAx>
      <c:valAx>
        <c:axId val="13815546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Harga (Dollar)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155967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175260</xdr:rowOff>
    </xdr:from>
    <xdr:to>
      <xdr:col>16</xdr:col>
      <xdr:colOff>0</xdr:colOff>
      <xdr:row>10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105FE5-6A94-474C-AA10-FCF89C23BE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7620</xdr:colOff>
      <xdr:row>12</xdr:row>
      <xdr:rowOff>99060</xdr:rowOff>
    </xdr:from>
    <xdr:to>
      <xdr:col>16</xdr:col>
      <xdr:colOff>7620</xdr:colOff>
      <xdr:row>22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960244-0327-429B-A22D-4FB349E84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22860</xdr:colOff>
      <xdr:row>23</xdr:row>
      <xdr:rowOff>0</xdr:rowOff>
    </xdr:from>
    <xdr:to>
      <xdr:col>16</xdr:col>
      <xdr:colOff>22860</xdr:colOff>
      <xdr:row>33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31FECC-EAE7-482B-9523-92BDD5F27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A4" sqref="A4:B9"/>
    </sheetView>
  </sheetViews>
  <sheetFormatPr defaultRowHeight="14.4" x14ac:dyDescent="0.3"/>
  <sheetData>
    <row r="1" spans="1:10" x14ac:dyDescent="0.3">
      <c r="A1" s="4" t="s">
        <v>0</v>
      </c>
      <c r="B1" s="4"/>
      <c r="C1" s="4"/>
      <c r="D1" s="4"/>
    </row>
    <row r="2" spans="1:10" x14ac:dyDescent="0.3">
      <c r="A2" s="4"/>
      <c r="B2" s="4"/>
      <c r="C2" s="4"/>
      <c r="D2" s="4"/>
    </row>
    <row r="4" spans="1:10" x14ac:dyDescent="0.3">
      <c r="A4" s="1" t="s">
        <v>2</v>
      </c>
      <c r="B4" s="1" t="s">
        <v>3</v>
      </c>
      <c r="D4" s="7" t="s">
        <v>1</v>
      </c>
      <c r="E4" s="7"/>
      <c r="G4" s="2" t="s">
        <v>8</v>
      </c>
      <c r="H4" s="2"/>
      <c r="I4" s="2"/>
      <c r="J4" s="2"/>
    </row>
    <row r="5" spans="1:10" x14ac:dyDescent="0.3">
      <c r="A5">
        <v>6</v>
      </c>
      <c r="B5">
        <v>7</v>
      </c>
      <c r="D5" s="3">
        <f xml:space="preserve"> SLOPE(B5:B9, A5:A9)</f>
        <v>0.9762931034482758</v>
      </c>
      <c r="E5" s="3"/>
      <c r="G5" s="2" t="s">
        <v>4</v>
      </c>
      <c r="H5" s="2"/>
      <c r="I5" s="2" t="s">
        <v>6</v>
      </c>
      <c r="J5" s="2"/>
    </row>
    <row r="6" spans="1:10" x14ac:dyDescent="0.3">
      <c r="A6">
        <v>8</v>
      </c>
      <c r="B6">
        <v>9</v>
      </c>
      <c r="G6" s="3">
        <f>_xlfn.VAR.S(A5:A9)</f>
        <v>23.199999999999989</v>
      </c>
      <c r="H6" s="3"/>
      <c r="I6" s="3">
        <f xml:space="preserve"> _xlfn.COVARIANCE.S(A5:A9, B5:B9)</f>
        <v>22.65</v>
      </c>
      <c r="J6" s="3"/>
    </row>
    <row r="7" spans="1:10" ht="14.4" customHeight="1" x14ac:dyDescent="0.3">
      <c r="A7">
        <v>10</v>
      </c>
      <c r="B7">
        <v>13</v>
      </c>
      <c r="G7" s="6" t="s">
        <v>5</v>
      </c>
      <c r="H7" s="6"/>
      <c r="I7" s="2" t="s">
        <v>7</v>
      </c>
      <c r="J7" s="2"/>
    </row>
    <row r="8" spans="1:10" x14ac:dyDescent="0.3">
      <c r="A8">
        <v>14</v>
      </c>
      <c r="B8">
        <v>17.5</v>
      </c>
      <c r="G8" s="6"/>
      <c r="H8" s="6"/>
      <c r="I8" s="3">
        <f>I6/G6</f>
        <v>0.97629310344827624</v>
      </c>
      <c r="J8" s="3"/>
    </row>
    <row r="9" spans="1:10" x14ac:dyDescent="0.3">
      <c r="A9">
        <v>18</v>
      </c>
      <c r="B9">
        <v>18</v>
      </c>
    </row>
    <row r="12" spans="1:10" x14ac:dyDescent="0.3">
      <c r="A12" s="4" t="s">
        <v>13</v>
      </c>
      <c r="B12" s="4"/>
      <c r="C12" s="4"/>
      <c r="D12" s="4"/>
    </row>
    <row r="13" spans="1:10" x14ac:dyDescent="0.3">
      <c r="A13" s="4"/>
      <c r="B13" s="4"/>
      <c r="C13" s="4"/>
      <c r="D13" s="4"/>
    </row>
    <row r="15" spans="1:10" x14ac:dyDescent="0.3">
      <c r="A15" s="5" t="s">
        <v>1</v>
      </c>
      <c r="B15" s="5"/>
    </row>
    <row r="16" spans="1:10" x14ac:dyDescent="0.3">
      <c r="A16">
        <f xml:space="preserve"> INTERCEPT(B5:B9, A5:A9)</f>
        <v>1.9655172413793114</v>
      </c>
      <c r="D16" s="2" t="s">
        <v>9</v>
      </c>
      <c r="E16" s="2"/>
      <c r="F16" s="2" t="s">
        <v>10</v>
      </c>
      <c r="G16" s="2"/>
    </row>
    <row r="17" spans="4:7" x14ac:dyDescent="0.3">
      <c r="D17" s="3">
        <f xml:space="preserve"> AVERAGE(A5:A9)</f>
        <v>11.2</v>
      </c>
      <c r="E17" s="3"/>
      <c r="F17" s="3">
        <f xml:space="preserve"> AVERAGE(B5:B9)</f>
        <v>12.9</v>
      </c>
      <c r="G17" s="3"/>
    </row>
    <row r="18" spans="4:7" x14ac:dyDescent="0.3">
      <c r="D18" s="2" t="s">
        <v>11</v>
      </c>
      <c r="E18" s="2"/>
      <c r="F18" s="2"/>
      <c r="G18" s="2"/>
    </row>
    <row r="19" spans="4:7" x14ac:dyDescent="0.3">
      <c r="D19" s="2" t="s">
        <v>12</v>
      </c>
      <c r="E19" s="2"/>
      <c r="F19" s="2"/>
      <c r="G19" s="2"/>
    </row>
    <row r="20" spans="4:7" x14ac:dyDescent="0.3">
      <c r="D20" s="3">
        <f>F17 - (I8 * D17)</f>
        <v>1.9655172413793078</v>
      </c>
      <c r="E20" s="3"/>
      <c r="F20" s="3"/>
      <c r="G20" s="3"/>
    </row>
  </sheetData>
  <mergeCells count="20">
    <mergeCell ref="A1:D2"/>
    <mergeCell ref="D4:E4"/>
    <mergeCell ref="D5:E5"/>
    <mergeCell ref="G5:H5"/>
    <mergeCell ref="G4:J4"/>
    <mergeCell ref="G7:H8"/>
    <mergeCell ref="G6:H6"/>
    <mergeCell ref="I5:J5"/>
    <mergeCell ref="I6:J6"/>
    <mergeCell ref="I7:J7"/>
    <mergeCell ref="I8:J8"/>
    <mergeCell ref="D18:G18"/>
    <mergeCell ref="D19:G19"/>
    <mergeCell ref="D20:G20"/>
    <mergeCell ref="A12:D13"/>
    <mergeCell ref="A15:B15"/>
    <mergeCell ref="D16:E16"/>
    <mergeCell ref="D17:E17"/>
    <mergeCell ref="F16:G16"/>
    <mergeCell ref="F17:G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B621C-56E9-4AF7-BCB2-5DE1C0416272}">
  <dimension ref="A1:B6"/>
  <sheetViews>
    <sheetView workbookViewId="0">
      <selection activeCell="A2" sqref="A2:A6"/>
    </sheetView>
  </sheetViews>
  <sheetFormatPr defaultRowHeight="14.4" x14ac:dyDescent="0.3"/>
  <cols>
    <col min="1" max="1" width="13.6640625" bestFit="1" customWidth="1"/>
    <col min="2" max="2" width="12.21875" bestFit="1" customWidth="1"/>
  </cols>
  <sheetData>
    <row r="1" spans="1:2" x14ac:dyDescent="0.3">
      <c r="A1" s="1" t="s">
        <v>14</v>
      </c>
      <c r="B1" s="1" t="s">
        <v>15</v>
      </c>
    </row>
    <row r="2" spans="1:2" x14ac:dyDescent="0.3">
      <c r="A2">
        <v>6</v>
      </c>
      <c r="B2">
        <v>7</v>
      </c>
    </row>
    <row r="3" spans="1:2" x14ac:dyDescent="0.3">
      <c r="A3">
        <v>8</v>
      </c>
      <c r="B3">
        <v>9</v>
      </c>
    </row>
    <row r="4" spans="1:2" x14ac:dyDescent="0.3">
      <c r="A4">
        <v>10</v>
      </c>
      <c r="B4">
        <v>13</v>
      </c>
    </row>
    <row r="5" spans="1:2" x14ac:dyDescent="0.3">
      <c r="A5">
        <v>14</v>
      </c>
      <c r="B5">
        <v>17.5</v>
      </c>
    </row>
    <row r="6" spans="1:2" x14ac:dyDescent="0.3">
      <c r="A6">
        <v>18</v>
      </c>
      <c r="B6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7C8AC-F52C-4E12-B667-4D84E8E66756}">
  <dimension ref="A1:I29"/>
  <sheetViews>
    <sheetView tabSelected="1" topLeftCell="A7" workbookViewId="0">
      <selection activeCell="F11" sqref="F11"/>
    </sheetView>
  </sheetViews>
  <sheetFormatPr defaultRowHeight="14.4" x14ac:dyDescent="0.3"/>
  <cols>
    <col min="1" max="1" width="17.44140625" bestFit="1" customWidth="1"/>
    <col min="2" max="2" width="21.109375" bestFit="1" customWidth="1"/>
    <col min="3" max="3" width="13.44140625" bestFit="1" customWidth="1"/>
    <col min="4" max="4" width="17" bestFit="1" customWidth="1"/>
    <col min="5" max="5" width="12" bestFit="1" customWidth="1"/>
    <col min="6" max="6" width="19.44140625" bestFit="1" customWidth="1"/>
    <col min="7" max="7" width="12.88671875" bestFit="1" customWidth="1"/>
    <col min="8" max="8" width="12.6640625" bestFit="1" customWidth="1"/>
    <col min="9" max="9" width="12.109375" bestFit="1" customWidth="1"/>
  </cols>
  <sheetData>
    <row r="1" spans="1:9" x14ac:dyDescent="0.3">
      <c r="A1" t="s">
        <v>16</v>
      </c>
    </row>
    <row r="2" spans="1:9" ht="15" thickBot="1" x14ac:dyDescent="0.35"/>
    <row r="3" spans="1:9" x14ac:dyDescent="0.3">
      <c r="A3" s="11" t="s">
        <v>17</v>
      </c>
      <c r="B3" s="11"/>
    </row>
    <row r="4" spans="1:9" x14ac:dyDescent="0.3">
      <c r="A4" s="8" t="s">
        <v>18</v>
      </c>
      <c r="B4" s="8">
        <v>0.95394003817012007</v>
      </c>
    </row>
    <row r="5" spans="1:9" x14ac:dyDescent="0.3">
      <c r="A5" s="8" t="s">
        <v>19</v>
      </c>
      <c r="B5" s="8">
        <v>0.91000159642401024</v>
      </c>
    </row>
    <row r="6" spans="1:9" x14ac:dyDescent="0.3">
      <c r="A6" s="8" t="s">
        <v>20</v>
      </c>
      <c r="B6" s="8">
        <v>0.88000212856534699</v>
      </c>
    </row>
    <row r="7" spans="1:9" x14ac:dyDescent="0.3">
      <c r="A7" s="8" t="s">
        <v>21</v>
      </c>
      <c r="B7" s="8">
        <v>1.7076147914158122</v>
      </c>
    </row>
    <row r="8" spans="1:9" ht="15" thickBot="1" x14ac:dyDescent="0.35">
      <c r="A8" s="9" t="s">
        <v>22</v>
      </c>
      <c r="B8" s="9">
        <v>5</v>
      </c>
    </row>
    <row r="10" spans="1:9" ht="15" thickBot="1" x14ac:dyDescent="0.35">
      <c r="A10" t="s">
        <v>23</v>
      </c>
    </row>
    <row r="11" spans="1:9" x14ac:dyDescent="0.3">
      <c r="A11" s="10"/>
      <c r="B11" s="10" t="s">
        <v>27</v>
      </c>
      <c r="C11" s="10" t="s">
        <v>28</v>
      </c>
      <c r="D11" s="10" t="s">
        <v>29</v>
      </c>
      <c r="E11" s="10" t="s">
        <v>30</v>
      </c>
      <c r="F11" s="10" t="s">
        <v>31</v>
      </c>
    </row>
    <row r="12" spans="1:9" x14ac:dyDescent="0.3">
      <c r="A12" s="8" t="s">
        <v>24</v>
      </c>
      <c r="B12" s="8">
        <v>1</v>
      </c>
      <c r="C12" s="8">
        <v>88.452155172413782</v>
      </c>
      <c r="D12" s="8">
        <v>88.452155172413782</v>
      </c>
      <c r="E12" s="8">
        <v>30.333924611973401</v>
      </c>
      <c r="F12" s="8">
        <v>1.1784081249034168E-2</v>
      </c>
    </row>
    <row r="13" spans="1:9" x14ac:dyDescent="0.3">
      <c r="A13" s="8" t="s">
        <v>25</v>
      </c>
      <c r="B13" s="8">
        <v>3</v>
      </c>
      <c r="C13" s="8">
        <v>8.7478448275862029</v>
      </c>
      <c r="D13" s="8">
        <v>2.9159482758620676</v>
      </c>
      <c r="E13" s="8"/>
      <c r="F13" s="8"/>
    </row>
    <row r="14" spans="1:9" ht="15" thickBot="1" x14ac:dyDescent="0.35">
      <c r="A14" s="9" t="s">
        <v>26</v>
      </c>
      <c r="B14" s="9">
        <v>4</v>
      </c>
      <c r="C14" s="9">
        <v>97.199999999999989</v>
      </c>
      <c r="D14" s="9"/>
      <c r="E14" s="9"/>
      <c r="F14" s="9"/>
    </row>
    <row r="15" spans="1:9" ht="15" thickBot="1" x14ac:dyDescent="0.35"/>
    <row r="16" spans="1:9" x14ac:dyDescent="0.3">
      <c r="A16" s="10"/>
      <c r="B16" s="10" t="s">
        <v>32</v>
      </c>
      <c r="C16" s="10" t="s">
        <v>21</v>
      </c>
      <c r="D16" s="10" t="s">
        <v>33</v>
      </c>
      <c r="E16" s="10" t="s">
        <v>34</v>
      </c>
      <c r="F16" s="10" t="s">
        <v>35</v>
      </c>
      <c r="G16" s="10" t="s">
        <v>36</v>
      </c>
      <c r="H16" s="10" t="s">
        <v>37</v>
      </c>
      <c r="I16" s="10" t="s">
        <v>38</v>
      </c>
    </row>
    <row r="17" spans="1:9" x14ac:dyDescent="0.3">
      <c r="A17" s="8" t="s">
        <v>11</v>
      </c>
      <c r="B17" s="8">
        <v>1.9655172413793114</v>
      </c>
      <c r="C17" s="8">
        <v>2.1271453463770533</v>
      </c>
      <c r="D17" s="8">
        <v>0.92401642639369874</v>
      </c>
      <c r="E17" s="8">
        <v>0.42362903781866873</v>
      </c>
      <c r="F17" s="8">
        <v>-4.8040086069997772</v>
      </c>
      <c r="G17" s="8">
        <v>8.735043089758399</v>
      </c>
      <c r="H17" s="8">
        <v>-4.8040086069997772</v>
      </c>
      <c r="I17" s="8">
        <v>8.735043089758399</v>
      </c>
    </row>
    <row r="18" spans="1:9" ht="15" thickBot="1" x14ac:dyDescent="0.35">
      <c r="A18" s="9" t="s">
        <v>14</v>
      </c>
      <c r="B18" s="9">
        <v>0.9762931034482758</v>
      </c>
      <c r="C18" s="9">
        <v>0.17726211219808774</v>
      </c>
      <c r="D18" s="9">
        <v>5.5076242257413863</v>
      </c>
      <c r="E18" s="9">
        <v>1.1784081249034168E-2</v>
      </c>
      <c r="F18" s="9">
        <v>0.41216594941668516</v>
      </c>
      <c r="G18" s="9">
        <v>1.5404202574798664</v>
      </c>
      <c r="H18" s="9">
        <v>0.41216594941668516</v>
      </c>
      <c r="I18" s="9">
        <v>1.5404202574798664</v>
      </c>
    </row>
    <row r="22" spans="1:9" x14ac:dyDescent="0.3">
      <c r="A22" t="s">
        <v>39</v>
      </c>
      <c r="F22" t="s">
        <v>44</v>
      </c>
    </row>
    <row r="23" spans="1:9" ht="15" thickBot="1" x14ac:dyDescent="0.35"/>
    <row r="24" spans="1:9" x14ac:dyDescent="0.3">
      <c r="A24" s="10" t="s">
        <v>40</v>
      </c>
      <c r="B24" s="10" t="s">
        <v>41</v>
      </c>
      <c r="C24" s="10" t="s">
        <v>42</v>
      </c>
      <c r="D24" s="10" t="s">
        <v>43</v>
      </c>
      <c r="F24" s="10" t="s">
        <v>45</v>
      </c>
      <c r="G24" s="10" t="s">
        <v>15</v>
      </c>
    </row>
    <row r="25" spans="1:9" x14ac:dyDescent="0.3">
      <c r="A25" s="8">
        <v>1</v>
      </c>
      <c r="B25" s="8">
        <v>7.8232758620689662</v>
      </c>
      <c r="C25" s="8">
        <v>-0.82327586206896619</v>
      </c>
      <c r="D25" s="8">
        <v>-0.55670464202145264</v>
      </c>
      <c r="F25" s="8">
        <v>10</v>
      </c>
      <c r="G25" s="8">
        <v>7</v>
      </c>
    </row>
    <row r="26" spans="1:9" x14ac:dyDescent="0.3">
      <c r="A26" s="8">
        <v>2</v>
      </c>
      <c r="B26" s="8">
        <v>9.7758620689655178</v>
      </c>
      <c r="C26" s="8">
        <v>-0.77586206896551779</v>
      </c>
      <c r="D26" s="8">
        <v>-0.52464311813540032</v>
      </c>
      <c r="F26" s="8">
        <v>30</v>
      </c>
      <c r="G26" s="8">
        <v>9</v>
      </c>
    </row>
    <row r="27" spans="1:9" x14ac:dyDescent="0.3">
      <c r="A27" s="8">
        <v>3</v>
      </c>
      <c r="B27" s="8">
        <v>11.728448275862069</v>
      </c>
      <c r="C27" s="8">
        <v>1.2715517241379306</v>
      </c>
      <c r="D27" s="8">
        <v>0.85983177694412738</v>
      </c>
      <c r="F27" s="8">
        <v>50</v>
      </c>
      <c r="G27" s="8">
        <v>13</v>
      </c>
    </row>
    <row r="28" spans="1:9" x14ac:dyDescent="0.3">
      <c r="A28" s="8">
        <v>4</v>
      </c>
      <c r="B28" s="8">
        <v>15.633620689655173</v>
      </c>
      <c r="C28" s="8">
        <v>1.8663793103448274</v>
      </c>
      <c r="D28" s="8">
        <v>1.2620581675146008</v>
      </c>
      <c r="F28" s="8">
        <v>70</v>
      </c>
      <c r="G28" s="8">
        <v>17.5</v>
      </c>
    </row>
    <row r="29" spans="1:9" ht="15" thickBot="1" x14ac:dyDescent="0.35">
      <c r="A29" s="9">
        <v>5</v>
      </c>
      <c r="B29" s="9">
        <v>19.538793103448278</v>
      </c>
      <c r="C29" s="9">
        <v>-1.5387931034482776</v>
      </c>
      <c r="D29" s="9">
        <v>-1.0405421843018776</v>
      </c>
      <c r="F29" s="9">
        <v>90</v>
      </c>
      <c r="G29" s="9">
        <v>18</v>
      </c>
    </row>
  </sheetData>
  <sortState xmlns:xlrd2="http://schemas.microsoft.com/office/spreadsheetml/2017/richdata2" ref="G25:G29">
    <sortCondition ref="G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Slope &amp; Intercept</vt:lpstr>
      <vt:lpstr>Data</vt:lpstr>
      <vt:lpstr>Using Tool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Wahyu Prayogo</dc:creator>
  <cp:lastModifiedBy>AWP1205</cp:lastModifiedBy>
  <dcterms:created xsi:type="dcterms:W3CDTF">2015-06-05T18:17:20Z</dcterms:created>
  <dcterms:modified xsi:type="dcterms:W3CDTF">2026-03-28T08:39:19Z</dcterms:modified>
</cp:coreProperties>
</file>